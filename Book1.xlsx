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raf\Desktop\DAMPE_ANALYSIS\"/>
    </mc:Choice>
  </mc:AlternateContent>
  <xr:revisionPtr revIDLastSave="0" documentId="13_ncr:1_{3CE49644-15E8-4018-9E7A-5659E30C132F}" xr6:coauthVersionLast="47" xr6:coauthVersionMax="47" xr10:uidLastSave="{00000000-0000-0000-0000-000000000000}"/>
  <bookViews>
    <workbookView xWindow="19095" yWindow="0" windowWidth="19410" windowHeight="20985" xr2:uid="{1F786044-C417-41AA-AC34-2D4A3B2EB53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5" i="1" l="1"/>
  <c r="Q15" i="1"/>
  <c r="T14" i="1"/>
  <c r="T8" i="1"/>
  <c r="Q14" i="1"/>
  <c r="O14" i="1"/>
  <c r="M14" i="1"/>
  <c r="K118" i="1"/>
  <c r="J118" i="1"/>
  <c r="H118" i="1"/>
  <c r="F118" i="1"/>
  <c r="K111" i="1"/>
  <c r="J111" i="1"/>
  <c r="H111" i="1"/>
  <c r="F111" i="1"/>
  <c r="Z5" i="1"/>
  <c r="Z6" i="1" s="1"/>
  <c r="V5" i="1"/>
  <c r="X5" i="1"/>
  <c r="T9" i="1"/>
  <c r="Q11" i="1"/>
  <c r="Q10" i="1"/>
  <c r="O10" i="1"/>
  <c r="M10" i="1"/>
  <c r="Q7" i="1"/>
  <c r="Q6" i="1"/>
  <c r="O6" i="1"/>
  <c r="M6" i="1"/>
  <c r="J85" i="1"/>
  <c r="H85" i="1"/>
  <c r="F85" i="1"/>
  <c r="F77" i="1"/>
  <c r="H77" i="1"/>
  <c r="H102" i="1"/>
  <c r="H93" i="1"/>
  <c r="F102" i="1"/>
  <c r="F93" i="1"/>
  <c r="J93" i="1" s="1"/>
  <c r="K93" i="1" s="1"/>
  <c r="K85" i="1"/>
  <c r="I65" i="1"/>
  <c r="H65" i="1"/>
  <c r="F65" i="1"/>
  <c r="H56" i="1"/>
  <c r="F56" i="1"/>
  <c r="H49" i="1"/>
  <c r="F49" i="1"/>
  <c r="F43" i="1"/>
  <c r="H43" i="1"/>
  <c r="H32" i="1"/>
  <c r="J32" i="1" s="1"/>
  <c r="K32" i="1" s="1"/>
  <c r="F32" i="1"/>
  <c r="H24" i="1"/>
  <c r="F24" i="1"/>
  <c r="H10" i="1"/>
  <c r="F10" i="1"/>
  <c r="H17" i="1"/>
  <c r="F17" i="1"/>
  <c r="J64" i="1" l="1"/>
  <c r="K64" i="1" s="1"/>
  <c r="J56" i="1"/>
  <c r="K56" i="1" s="1"/>
  <c r="J17" i="1"/>
  <c r="K17" i="1" s="1"/>
  <c r="J24" i="1"/>
  <c r="K24" i="1" s="1"/>
  <c r="J65" i="1"/>
  <c r="J43" i="1"/>
  <c r="K43" i="1" s="1"/>
  <c r="J49" i="1"/>
  <c r="K49" i="1" s="1"/>
  <c r="J77" i="1"/>
  <c r="K77" i="1" s="1"/>
  <c r="J102" i="1"/>
  <c r="K102" i="1" s="1"/>
  <c r="J66" i="1"/>
  <c r="K66" i="1" s="1"/>
  <c r="K65" i="1"/>
  <c r="J10" i="1"/>
  <c r="K10" i="1" s="1"/>
</calcChain>
</file>

<file path=xl/sharedStrings.xml><?xml version="1.0" encoding="utf-8"?>
<sst xmlns="http://schemas.openxmlformats.org/spreadsheetml/2006/main" count="77" uniqueCount="32">
  <si>
    <t xml:space="preserve">Ar (1/w*2) </t>
  </si>
  <si>
    <t>S (1/w)</t>
  </si>
  <si>
    <t>1TeV-10TeV</t>
  </si>
  <si>
    <t>S/Ar</t>
  </si>
  <si>
    <t>%</t>
  </si>
  <si>
    <t>100GeV-1TeV</t>
  </si>
  <si>
    <t>sum</t>
  </si>
  <si>
    <t>10TeV-100TeV</t>
  </si>
  <si>
    <t>100TeV-1PeV</t>
  </si>
  <si>
    <t>100TeV-500TeV</t>
  </si>
  <si>
    <t xml:space="preserve">S (1/w)/Ar (1/w*2) </t>
  </si>
  <si>
    <t>*S MC up to 500TeV</t>
  </si>
  <si>
    <t>energy range</t>
  </si>
  <si>
    <t>Si (1/w)</t>
  </si>
  <si>
    <t xml:space="preserve">Ar (1/w*11) </t>
  </si>
  <si>
    <t xml:space="preserve">S i(1/w)/Ar (1/w*11) </t>
  </si>
  <si>
    <t>*average of two  samples Si MC 100TeV-1PeV</t>
  </si>
  <si>
    <t xml:space="preserve">S i(1/w)/S (1/w*4) </t>
  </si>
  <si>
    <t>S (1/w*5)</t>
  </si>
  <si>
    <t xml:space="preserve">tot Ar </t>
  </si>
  <si>
    <t>to S</t>
  </si>
  <si>
    <t>tot Si</t>
  </si>
  <si>
    <t xml:space="preserve">tot contamination on Ar </t>
  </si>
  <si>
    <t>S+Si</t>
  </si>
  <si>
    <t>tot S</t>
  </si>
  <si>
    <t>Si/Ar</t>
  </si>
  <si>
    <t>Si/S</t>
  </si>
  <si>
    <t>Ca (1/w)</t>
  </si>
  <si>
    <t xml:space="preserve">tor Ar </t>
  </si>
  <si>
    <t>tot Ca</t>
  </si>
  <si>
    <t>Ca/Ar</t>
  </si>
  <si>
    <t xml:space="preserve">Si+S+Ca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</si>
</sst>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774F3-ECE7-4AEE-BA94-39628AD8816E}">
  <dimension ref="E4:Z118"/>
  <sheetViews>
    <sheetView tabSelected="1" topLeftCell="J1" workbookViewId="0">
      <selection activeCell="S22" sqref="S22"/>
    </sheetView>
  </sheetViews>
  <sheetFormatPr defaultRowHeight="15" x14ac:dyDescent="0.25"/>
  <cols>
    <col min="3" max="3" width="11" bestFit="1" customWidth="1"/>
    <col min="5" max="5" width="13.140625" bestFit="1" customWidth="1"/>
    <col min="6" max="6" width="11.5703125" customWidth="1"/>
    <col min="7" max="7" width="14.140625" customWidth="1"/>
    <col min="8" max="8" width="12" bestFit="1" customWidth="1"/>
    <col min="9" max="9" width="19.140625" customWidth="1"/>
    <col min="10" max="10" width="20" customWidth="1"/>
    <col min="19" max="19" width="22.5703125" bestFit="1" customWidth="1"/>
  </cols>
  <sheetData>
    <row r="4" spans="5:26" x14ac:dyDescent="0.25">
      <c r="F4" t="s">
        <v>0</v>
      </c>
      <c r="H4" t="s">
        <v>1</v>
      </c>
      <c r="J4" t="s">
        <v>3</v>
      </c>
      <c r="K4" t="s">
        <v>4</v>
      </c>
      <c r="M4" t="s">
        <v>19</v>
      </c>
      <c r="O4" t="s">
        <v>20</v>
      </c>
      <c r="Q4" t="s">
        <v>3</v>
      </c>
      <c r="V4" t="s">
        <v>24</v>
      </c>
      <c r="X4" t="s">
        <v>21</v>
      </c>
      <c r="Z4" t="s">
        <v>26</v>
      </c>
    </row>
    <row r="5" spans="5:26" x14ac:dyDescent="0.25">
      <c r="V5">
        <f>SUM(H77,H85,H93,H102)</f>
        <v>0.61067640999999995</v>
      </c>
      <c r="X5">
        <f>SUM(F77,F85,F93,F102)</f>
        <v>6.2695204000000004E-2</v>
      </c>
      <c r="Z5">
        <f>X5/V5</f>
        <v>0.10266518072967648</v>
      </c>
    </row>
    <row r="6" spans="5:26" x14ac:dyDescent="0.25">
      <c r="E6" s="1" t="s">
        <v>5</v>
      </c>
      <c r="F6">
        <v>0.29152499999999998</v>
      </c>
      <c r="H6">
        <v>3.03221E-3</v>
      </c>
      <c r="M6">
        <f>SUM(F10,F17,F24,F32)</f>
        <v>1.32543012</v>
      </c>
      <c r="O6">
        <f>SUM(H10,H17,H24,H32)</f>
        <v>3.30440735E-2</v>
      </c>
      <c r="Q6">
        <f>O6/M6</f>
        <v>2.4930830378292593E-2</v>
      </c>
      <c r="Z6">
        <f>Z5*100</f>
        <v>10.266518072967648</v>
      </c>
    </row>
    <row r="7" spans="5:26" x14ac:dyDescent="0.25">
      <c r="F7">
        <v>0.21846399999999999</v>
      </c>
      <c r="H7">
        <v>1.11922E-3</v>
      </c>
      <c r="Q7">
        <f>100*Q6</f>
        <v>2.4930830378292592</v>
      </c>
    </row>
    <row r="8" spans="5:26" x14ac:dyDescent="0.25">
      <c r="F8">
        <v>7.4210600000000002E-2</v>
      </c>
      <c r="H8">
        <v>2.72723E-4</v>
      </c>
      <c r="S8" t="s">
        <v>22</v>
      </c>
      <c r="T8">
        <f>Q6+Q10</f>
        <v>7.5702649282854279E-2</v>
      </c>
    </row>
    <row r="9" spans="5:26" x14ac:dyDescent="0.25">
      <c r="F9">
        <v>7.8806699999999993E-3</v>
      </c>
      <c r="H9">
        <v>6.7849100000000001E-5</v>
      </c>
      <c r="M9" t="s">
        <v>19</v>
      </c>
      <c r="O9" t="s">
        <v>21</v>
      </c>
      <c r="Q9" t="s">
        <v>25</v>
      </c>
      <c r="S9" t="s">
        <v>23</v>
      </c>
      <c r="T9">
        <f>100*T8</f>
        <v>7.570264928285428</v>
      </c>
    </row>
    <row r="10" spans="5:26" x14ac:dyDescent="0.25">
      <c r="E10" t="s">
        <v>6</v>
      </c>
      <c r="F10">
        <f>SUM(F6:F9)</f>
        <v>0.59208027000000008</v>
      </c>
      <c r="H10">
        <f>SUM(H6:H9)</f>
        <v>4.4920020999999997E-3</v>
      </c>
      <c r="J10" s="1">
        <f>H10/F10</f>
        <v>7.5868126799766514E-3</v>
      </c>
      <c r="K10">
        <f>J10*100</f>
        <v>0.75868126799766511</v>
      </c>
      <c r="M10">
        <f>SUM(F43,F49,F56,F65)</f>
        <v>0.15261418100000002</v>
      </c>
      <c r="O10">
        <f>SUM(H43,H49,H56,H65)</f>
        <v>7.7484995600000002E-3</v>
      </c>
      <c r="Q10">
        <f>O10/M10</f>
        <v>5.0771818904561693E-2</v>
      </c>
    </row>
    <row r="11" spans="5:26" x14ac:dyDescent="0.25">
      <c r="Q11">
        <f>100*Q10</f>
        <v>5.0771818904561696</v>
      </c>
    </row>
    <row r="13" spans="5:26" x14ac:dyDescent="0.25">
      <c r="E13" s="1" t="s">
        <v>2</v>
      </c>
      <c r="F13">
        <v>7.6233300000000004E-2</v>
      </c>
      <c r="H13">
        <v>8.2167199999999996E-4</v>
      </c>
      <c r="M13" t="s">
        <v>28</v>
      </c>
      <c r="O13" t="s">
        <v>29</v>
      </c>
      <c r="Q13" t="s">
        <v>30</v>
      </c>
    </row>
    <row r="14" spans="5:26" x14ac:dyDescent="0.25">
      <c r="F14">
        <v>0.14907300000000001</v>
      </c>
      <c r="H14">
        <v>8.5790900000000002E-4</v>
      </c>
      <c r="M14">
        <f>SUM(F111,F118)</f>
        <v>0.61246639999999997</v>
      </c>
      <c r="O14">
        <f>SUM(H111,H118)</f>
        <v>9.5857100000000015E-2</v>
      </c>
      <c r="Q14">
        <f>O14/M14</f>
        <v>0.15650997344507392</v>
      </c>
      <c r="S14" t="s">
        <v>31</v>
      </c>
      <c r="T14">
        <f>Q6+Q10+Q14</f>
        <v>0.2322126227279282</v>
      </c>
    </row>
    <row r="15" spans="5:26" x14ac:dyDescent="0.25">
      <c r="F15">
        <v>4.9196999999999998E-2</v>
      </c>
      <c r="H15">
        <v>1.19189E-4</v>
      </c>
      <c r="Q15">
        <f>100*Q14</f>
        <v>15.650997344507392</v>
      </c>
      <c r="T15">
        <f>100*T14</f>
        <v>23.221262272792821</v>
      </c>
    </row>
    <row r="16" spans="5:26" x14ac:dyDescent="0.25">
      <c r="F16">
        <v>9.1376200000000008E-3</v>
      </c>
      <c r="H16">
        <v>5.9355399999999998E-5</v>
      </c>
    </row>
    <row r="17" spans="5:11" x14ac:dyDescent="0.25">
      <c r="E17" t="s">
        <v>6</v>
      </c>
      <c r="F17">
        <f>SUM(F13:F16)</f>
        <v>0.28364092000000002</v>
      </c>
      <c r="H17">
        <f>SUM(H13:H16)</f>
        <v>1.8581253999999999E-3</v>
      </c>
      <c r="J17" s="1">
        <f>H17/F17</f>
        <v>6.5509779054446719E-3</v>
      </c>
      <c r="K17">
        <f>J17*100</f>
        <v>0.65509779054446715</v>
      </c>
    </row>
    <row r="20" spans="5:11" x14ac:dyDescent="0.25">
      <c r="E20" s="1" t="s">
        <v>7</v>
      </c>
      <c r="F20">
        <v>2.8569000000000001E-2</v>
      </c>
      <c r="H20">
        <v>1.1341299999999999E-3</v>
      </c>
    </row>
    <row r="21" spans="5:11" x14ac:dyDescent="0.25">
      <c r="F21">
        <v>8.9404399999999995E-2</v>
      </c>
      <c r="H21">
        <v>7.2631099999999999E-4</v>
      </c>
    </row>
    <row r="22" spans="5:11" x14ac:dyDescent="0.25">
      <c r="F22">
        <v>0.104962</v>
      </c>
      <c r="H22">
        <v>4.9951599999999998E-4</v>
      </c>
    </row>
    <row r="23" spans="5:11" x14ac:dyDescent="0.25">
      <c r="F23">
        <v>2.1866099999999999E-2</v>
      </c>
      <c r="H23">
        <v>1.56799E-4</v>
      </c>
    </row>
    <row r="24" spans="5:11" x14ac:dyDescent="0.25">
      <c r="E24" t="s">
        <v>6</v>
      </c>
      <c r="F24">
        <f>SUM(F20:F23)</f>
        <v>0.24480150000000001</v>
      </c>
      <c r="H24">
        <f>SUM(H20:H23)</f>
        <v>2.5167560000000002E-3</v>
      </c>
      <c r="J24" s="1">
        <f>H24/F24</f>
        <v>1.0280803017955364E-2</v>
      </c>
      <c r="K24">
        <f>J24*100</f>
        <v>1.0280803017955364</v>
      </c>
    </row>
    <row r="27" spans="5:11" x14ac:dyDescent="0.25">
      <c r="E27" s="1" t="s">
        <v>8</v>
      </c>
      <c r="F27">
        <v>1.7865900000000001E-2</v>
      </c>
      <c r="G27" s="1" t="s">
        <v>9</v>
      </c>
      <c r="H27">
        <v>1.09382E-2</v>
      </c>
    </row>
    <row r="28" spans="5:11" x14ac:dyDescent="0.25">
      <c r="F28">
        <v>4.4017399999999998E-2</v>
      </c>
      <c r="H28">
        <v>6.0228199999999999E-3</v>
      </c>
    </row>
    <row r="29" spans="5:11" x14ac:dyDescent="0.25">
      <c r="F29">
        <v>6.0511130000000003E-2</v>
      </c>
      <c r="H29">
        <v>4.4899800000000002E-3</v>
      </c>
    </row>
    <row r="30" spans="5:11" x14ac:dyDescent="0.25">
      <c r="F30">
        <v>4.8298800000000003E-2</v>
      </c>
      <c r="H30">
        <v>1.57818E-3</v>
      </c>
    </row>
    <row r="31" spans="5:11" x14ac:dyDescent="0.25">
      <c r="F31">
        <v>3.42142E-2</v>
      </c>
      <c r="H31">
        <v>1.1480100000000001E-3</v>
      </c>
    </row>
    <row r="32" spans="5:11" x14ac:dyDescent="0.25">
      <c r="E32" t="s">
        <v>6</v>
      </c>
      <c r="F32">
        <f>SUM(F27:F31)</f>
        <v>0.20490743</v>
      </c>
      <c r="H32">
        <f>SUM(H27:H31)</f>
        <v>2.4177190000000001E-2</v>
      </c>
      <c r="J32" s="1">
        <f>H32/F32</f>
        <v>0.11799079223237538</v>
      </c>
      <c r="K32">
        <f>100*J32</f>
        <v>11.799079223237538</v>
      </c>
    </row>
    <row r="37" spans="5:11" x14ac:dyDescent="0.25">
      <c r="F37" t="s">
        <v>14</v>
      </c>
      <c r="H37" t="s">
        <v>13</v>
      </c>
    </row>
    <row r="39" spans="5:11" x14ac:dyDescent="0.25">
      <c r="E39" s="1" t="s">
        <v>5</v>
      </c>
      <c r="F39">
        <v>9.16433E-3</v>
      </c>
      <c r="H39">
        <v>3.0740000000000001E-6</v>
      </c>
    </row>
    <row r="40" spans="5:11" x14ac:dyDescent="0.25">
      <c r="F40">
        <v>2.21826E-2</v>
      </c>
      <c r="H40">
        <v>1.48244E-6</v>
      </c>
    </row>
    <row r="41" spans="5:11" x14ac:dyDescent="0.25">
      <c r="F41">
        <v>1.7015300000000001E-2</v>
      </c>
      <c r="H41">
        <v>1.48244E-6</v>
      </c>
    </row>
    <row r="42" spans="5:11" x14ac:dyDescent="0.25">
      <c r="F42">
        <v>5.1891999999999997E-3</v>
      </c>
      <c r="H42">
        <v>1.48244E-6</v>
      </c>
    </row>
    <row r="43" spans="5:11" x14ac:dyDescent="0.25">
      <c r="E43" t="s">
        <v>6</v>
      </c>
      <c r="F43">
        <f>SUM(F39:F42)</f>
        <v>5.3551430000000004E-2</v>
      </c>
      <c r="H43">
        <f>SUM(H39:H42)</f>
        <v>7.52132E-6</v>
      </c>
      <c r="J43" s="1">
        <f>H43/F43</f>
        <v>1.4045040440563398E-4</v>
      </c>
      <c r="K43">
        <f>J43*100</f>
        <v>1.4045040440563398E-2</v>
      </c>
    </row>
    <row r="46" spans="5:11" x14ac:dyDescent="0.25">
      <c r="E46" s="1" t="s">
        <v>2</v>
      </c>
      <c r="F46">
        <v>1.0998900000000001E-3</v>
      </c>
      <c r="H46">
        <v>6.90856E-6</v>
      </c>
    </row>
    <row r="47" spans="5:11" x14ac:dyDescent="0.25">
      <c r="F47">
        <v>3.0285900000000001E-2</v>
      </c>
      <c r="H47">
        <v>5.3356799999999999E-6</v>
      </c>
    </row>
    <row r="48" spans="5:11" x14ac:dyDescent="0.25">
      <c r="F48">
        <v>9.2803099999999999E-3</v>
      </c>
      <c r="H48">
        <v>3.3782000000000001E-6</v>
      </c>
    </row>
    <row r="49" spans="5:11" x14ac:dyDescent="0.25">
      <c r="E49" t="s">
        <v>6</v>
      </c>
      <c r="F49">
        <f>SUM(F46:F48)</f>
        <v>4.0666100000000004E-2</v>
      </c>
      <c r="H49">
        <f>SUM(H46:H48)</f>
        <v>1.5622440000000001E-5</v>
      </c>
      <c r="J49" s="1">
        <f>H49/F49</f>
        <v>3.8416371375666708E-4</v>
      </c>
      <c r="K49">
        <f>J49*100</f>
        <v>3.8416371375666711E-2</v>
      </c>
    </row>
    <row r="52" spans="5:11" x14ac:dyDescent="0.25">
      <c r="E52" s="1" t="s">
        <v>7</v>
      </c>
      <c r="F52">
        <v>1.09848E-3</v>
      </c>
      <c r="H52">
        <v>1.7518699999999999E-4</v>
      </c>
    </row>
    <row r="53" spans="5:11" x14ac:dyDescent="0.25">
      <c r="F53">
        <v>2.2010300000000001E-3</v>
      </c>
      <c r="H53">
        <v>1.10806E-4</v>
      </c>
    </row>
    <row r="54" spans="5:11" x14ac:dyDescent="0.25">
      <c r="F54">
        <v>1.4067000000000001E-3</v>
      </c>
      <c r="H54">
        <v>7.5844899999999996E-5</v>
      </c>
    </row>
    <row r="55" spans="5:11" x14ac:dyDescent="0.25">
      <c r="F55">
        <v>5.8397799999999997E-4</v>
      </c>
      <c r="H55">
        <v>7.5844899999999996E-5</v>
      </c>
    </row>
    <row r="56" spans="5:11" x14ac:dyDescent="0.25">
      <c r="E56" t="s">
        <v>6</v>
      </c>
      <c r="F56">
        <f>SUM(F52:F55)</f>
        <v>5.2901880000000004E-3</v>
      </c>
      <c r="H56">
        <f>SUM(H52:H55)</f>
        <v>4.3768280000000006E-4</v>
      </c>
      <c r="J56" s="1">
        <f>H56/F56</f>
        <v>8.273482908357889E-2</v>
      </c>
      <c r="K56">
        <f>100*J56</f>
        <v>8.2734829083578898</v>
      </c>
    </row>
    <row r="59" spans="5:11" x14ac:dyDescent="0.25">
      <c r="E59" s="1" t="s">
        <v>8</v>
      </c>
      <c r="F59">
        <v>3.24677E-3</v>
      </c>
      <c r="H59">
        <v>3.28773E-3</v>
      </c>
      <c r="I59">
        <v>4.2247300000000003E-3</v>
      </c>
    </row>
    <row r="60" spans="5:11" x14ac:dyDescent="0.25">
      <c r="F60">
        <v>9.6644999999999995E-3</v>
      </c>
      <c r="H60">
        <v>1.800116E-3</v>
      </c>
      <c r="I60">
        <v>3.0494799999999998E-3</v>
      </c>
    </row>
    <row r="61" spans="5:11" x14ac:dyDescent="0.25">
      <c r="F61">
        <v>1.42554E-2</v>
      </c>
      <c r="H61">
        <v>1.1184400000000001E-3</v>
      </c>
      <c r="I61">
        <v>2.3143700000000001E-3</v>
      </c>
    </row>
    <row r="62" spans="5:11" x14ac:dyDescent="0.25">
      <c r="F62">
        <v>1.22641E-2</v>
      </c>
      <c r="H62">
        <v>4.6500000000000003E-4</v>
      </c>
      <c r="I62">
        <v>1.7129700000000001E-3</v>
      </c>
    </row>
    <row r="63" spans="5:11" x14ac:dyDescent="0.25">
      <c r="F63">
        <v>8.3145530000000006E-3</v>
      </c>
      <c r="H63">
        <v>3.7105699999999999E-4</v>
      </c>
      <c r="I63">
        <v>1.14372E-3</v>
      </c>
    </row>
    <row r="64" spans="5:11" x14ac:dyDescent="0.25">
      <c r="F64">
        <v>5.3611400000000003E-3</v>
      </c>
      <c r="H64">
        <v>2.4532999999999998E-4</v>
      </c>
      <c r="I64">
        <v>8.4882800000000004E-4</v>
      </c>
      <c r="J64">
        <f>H65/F65</f>
        <v>0.13722761013099291</v>
      </c>
      <c r="K64">
        <f>100*J64</f>
        <v>13.722761013099291</v>
      </c>
    </row>
    <row r="65" spans="5:11" x14ac:dyDescent="0.25">
      <c r="E65" t="s">
        <v>6</v>
      </c>
      <c r="F65">
        <f>SUM(F59:F64)</f>
        <v>5.3106463E-2</v>
      </c>
      <c r="H65">
        <f>SUM(H58:H64)</f>
        <v>7.2876730000000006E-3</v>
      </c>
      <c r="I65">
        <f>SUM(I59:I64)</f>
        <v>1.3294097999999997E-2</v>
      </c>
      <c r="J65">
        <f>I65/F65</f>
        <v>0.25032919251278318</v>
      </c>
      <c r="K65">
        <f>100*J65</f>
        <v>25.032919251278319</v>
      </c>
    </row>
    <row r="66" spans="5:11" x14ac:dyDescent="0.25">
      <c r="J66" s="1">
        <f>AVERAGE(J65,J64)</f>
        <v>0.19377840132188806</v>
      </c>
      <c r="K66">
        <f>100*J66</f>
        <v>19.377840132188805</v>
      </c>
    </row>
    <row r="70" spans="5:11" x14ac:dyDescent="0.25">
      <c r="F70" t="s">
        <v>13</v>
      </c>
      <c r="H70" t="s">
        <v>18</v>
      </c>
    </row>
    <row r="72" spans="5:11" x14ac:dyDescent="0.25">
      <c r="E72" s="1" t="s">
        <v>5</v>
      </c>
      <c r="F72">
        <v>3.5046000000000001E-3</v>
      </c>
      <c r="H72">
        <v>5.3071200000000002E-3</v>
      </c>
    </row>
    <row r="73" spans="5:11" x14ac:dyDescent="0.25">
      <c r="F73">
        <v>1.61326E-3</v>
      </c>
      <c r="H73">
        <v>9.1811699999999996E-2</v>
      </c>
    </row>
    <row r="74" spans="5:11" x14ac:dyDescent="0.25">
      <c r="F74">
        <v>5.7685899999999999E-4</v>
      </c>
      <c r="H74">
        <v>1.6538899999999999E-2</v>
      </c>
    </row>
    <row r="75" spans="5:11" x14ac:dyDescent="0.25">
      <c r="F75">
        <v>2.1384900000000001E-4</v>
      </c>
      <c r="H75">
        <v>4.38162E-2</v>
      </c>
    </row>
    <row r="76" spans="5:11" x14ac:dyDescent="0.25">
      <c r="F76">
        <v>2.10025E-4</v>
      </c>
      <c r="H76">
        <v>5.9138899999999998E-3</v>
      </c>
    </row>
    <row r="77" spans="5:11" x14ac:dyDescent="0.25">
      <c r="E77" t="s">
        <v>6</v>
      </c>
      <c r="F77">
        <f>SUM(F72:F76)</f>
        <v>6.1185930000000003E-3</v>
      </c>
      <c r="H77">
        <f>SUM(H72:H76)</f>
        <v>0.16338780999999999</v>
      </c>
      <c r="J77">
        <f>F77/H77</f>
        <v>3.7448283320524342E-2</v>
      </c>
      <c r="K77">
        <f>100*J77</f>
        <v>3.744828332052434</v>
      </c>
    </row>
    <row r="80" spans="5:11" x14ac:dyDescent="0.25">
      <c r="E80" s="1" t="s">
        <v>2</v>
      </c>
      <c r="F80">
        <v>3.5046000000000001E-3</v>
      </c>
      <c r="H80">
        <v>4.20712E-3</v>
      </c>
    </row>
    <row r="81" spans="5:11" x14ac:dyDescent="0.25">
      <c r="F81">
        <v>1.61326E-3</v>
      </c>
      <c r="H81">
        <v>1.218117E-2</v>
      </c>
    </row>
    <row r="82" spans="5:11" x14ac:dyDescent="0.25">
      <c r="F82">
        <v>5.7685899999999999E-4</v>
      </c>
      <c r="H82">
        <v>7.3538900000000004E-2</v>
      </c>
    </row>
    <row r="83" spans="5:11" x14ac:dyDescent="0.25">
      <c r="F83">
        <v>2.1384900000000001E-4</v>
      </c>
      <c r="H83">
        <v>3.5816199999999999E-2</v>
      </c>
    </row>
    <row r="84" spans="5:11" x14ac:dyDescent="0.25">
      <c r="F84">
        <v>2.10025E-4</v>
      </c>
      <c r="H84">
        <v>4.4138900000000002E-3</v>
      </c>
    </row>
    <row r="85" spans="5:11" x14ac:dyDescent="0.25">
      <c r="E85" t="s">
        <v>6</v>
      </c>
      <c r="F85">
        <f>SUM(F80:F84)</f>
        <v>6.1185930000000003E-3</v>
      </c>
      <c r="H85">
        <f>SUM(H80:H84)</f>
        <v>0.13015728000000001</v>
      </c>
      <c r="J85">
        <f>F85/H85</f>
        <v>4.7009226068645563E-2</v>
      </c>
      <c r="K85">
        <f>J85*100</f>
        <v>4.7009226068645562</v>
      </c>
    </row>
    <row r="88" spans="5:11" x14ac:dyDescent="0.25">
      <c r="E88" s="1" t="s">
        <v>7</v>
      </c>
      <c r="F88">
        <v>2.33768E-3</v>
      </c>
      <c r="H88">
        <v>2.4726499999999998E-2</v>
      </c>
    </row>
    <row r="89" spans="5:11" x14ac:dyDescent="0.25">
      <c r="F89">
        <v>1.4438000000000001E-3</v>
      </c>
      <c r="H89">
        <v>6.3149499999999997E-2</v>
      </c>
    </row>
    <row r="90" spans="5:11" x14ac:dyDescent="0.25">
      <c r="F90">
        <v>1.24507E-3</v>
      </c>
      <c r="H90">
        <v>4.6425399999999999E-2</v>
      </c>
    </row>
    <row r="91" spans="5:11" x14ac:dyDescent="0.25">
      <c r="F91">
        <v>7.0315600000000003E-4</v>
      </c>
      <c r="H91">
        <v>1.8994899999999999E-2</v>
      </c>
    </row>
    <row r="92" spans="5:11" x14ac:dyDescent="0.25">
      <c r="F92">
        <v>3.7799200000000001E-4</v>
      </c>
      <c r="H92">
        <v>6.7126199999999999E-3</v>
      </c>
    </row>
    <row r="93" spans="5:11" x14ac:dyDescent="0.25">
      <c r="E93" t="s">
        <v>6</v>
      </c>
      <c r="F93">
        <f>SUM(F88:F92)</f>
        <v>6.1076979999999999E-3</v>
      </c>
      <c r="H93">
        <f>SUM(H88:H92)</f>
        <v>0.16000892</v>
      </c>
      <c r="J93">
        <f>F93/H93</f>
        <v>3.817098446761593E-2</v>
      </c>
      <c r="K93">
        <f>J93*100</f>
        <v>3.8170984467615932</v>
      </c>
    </row>
    <row r="96" spans="5:11" x14ac:dyDescent="0.25">
      <c r="E96" s="1" t="s">
        <v>8</v>
      </c>
      <c r="F96">
        <v>1.9701900000000001E-2</v>
      </c>
      <c r="H96">
        <v>9.2767000000000006E-3</v>
      </c>
    </row>
    <row r="97" spans="5:11" x14ac:dyDescent="0.25">
      <c r="F97">
        <v>1.0246999999999999E-2</v>
      </c>
      <c r="H97">
        <v>3.1490700000000003E-2</v>
      </c>
    </row>
    <row r="98" spans="5:11" x14ac:dyDescent="0.25">
      <c r="F98">
        <v>5.7219799999999998E-3</v>
      </c>
      <c r="H98">
        <v>4.3665500000000003E-2</v>
      </c>
    </row>
    <row r="99" spans="5:11" x14ac:dyDescent="0.25">
      <c r="F99">
        <v>4.06836E-3</v>
      </c>
      <c r="H99">
        <v>2.4038899999999998E-2</v>
      </c>
    </row>
    <row r="100" spans="5:11" x14ac:dyDescent="0.25">
      <c r="F100">
        <v>3.0186200000000001E-3</v>
      </c>
      <c r="H100">
        <v>1.28632E-2</v>
      </c>
    </row>
    <row r="101" spans="5:11" x14ac:dyDescent="0.25">
      <c r="F101">
        <v>1.59246E-3</v>
      </c>
      <c r="H101">
        <v>3.5787399999999997E-2</v>
      </c>
    </row>
    <row r="102" spans="5:11" x14ac:dyDescent="0.25">
      <c r="E102" t="s">
        <v>6</v>
      </c>
      <c r="F102">
        <f>SUM(F96:F101)</f>
        <v>4.4350319999999999E-2</v>
      </c>
      <c r="H102">
        <f>SUM(H96:H101)</f>
        <v>0.1571224</v>
      </c>
      <c r="J102">
        <f>F102/H102</f>
        <v>0.28226605499915991</v>
      </c>
      <c r="K102">
        <f>J102*100</f>
        <v>28.226605499915991</v>
      </c>
    </row>
    <row r="106" spans="5:11" x14ac:dyDescent="0.25">
      <c r="F106" t="s">
        <v>0</v>
      </c>
      <c r="H106" t="s">
        <v>27</v>
      </c>
    </row>
    <row r="108" spans="5:11" x14ac:dyDescent="0.25">
      <c r="E108" s="1" t="s">
        <v>5</v>
      </c>
      <c r="F108">
        <v>3.2915600000000003E-2</v>
      </c>
      <c r="H108">
        <v>1.4563400000000001E-2</v>
      </c>
    </row>
    <row r="109" spans="5:11" x14ac:dyDescent="0.25">
      <c r="F109">
        <v>0.19262199999999999</v>
      </c>
      <c r="H109">
        <v>1.4821000000000001E-2</v>
      </c>
    </row>
    <row r="110" spans="5:11" x14ac:dyDescent="0.25">
      <c r="F110">
        <v>8.4480700000000006E-2</v>
      </c>
      <c r="H110">
        <v>1.5759200000000001E-2</v>
      </c>
    </row>
    <row r="111" spans="5:11" x14ac:dyDescent="0.25">
      <c r="E111" t="s">
        <v>6</v>
      </c>
      <c r="F111">
        <f>SUM(F108:F110)</f>
        <v>0.31001830000000002</v>
      </c>
      <c r="H111">
        <f>SUM(H108:H110)</f>
        <v>4.5143600000000006E-2</v>
      </c>
      <c r="J111">
        <f>H111/F111</f>
        <v>0.14561592009245908</v>
      </c>
      <c r="K111">
        <f>J111*100</f>
        <v>14.561592009245908</v>
      </c>
    </row>
    <row r="114" spans="5:11" x14ac:dyDescent="0.25">
      <c r="E114" t="s">
        <v>7</v>
      </c>
      <c r="F114">
        <v>2.8132399999999998E-2</v>
      </c>
      <c r="H114">
        <v>1.19478E-2</v>
      </c>
    </row>
    <row r="115" spans="5:11" x14ac:dyDescent="0.25">
      <c r="F115">
        <v>0.11759699999999999</v>
      </c>
      <c r="H115">
        <v>1.26222E-2</v>
      </c>
    </row>
    <row r="116" spans="5:11" x14ac:dyDescent="0.25">
      <c r="F116">
        <v>0.115324</v>
      </c>
      <c r="H116">
        <v>1.2847000000000001E-2</v>
      </c>
    </row>
    <row r="117" spans="5:11" x14ac:dyDescent="0.25">
      <c r="F117">
        <v>4.13947E-2</v>
      </c>
      <c r="H117">
        <v>1.3296499999999999E-2</v>
      </c>
    </row>
    <row r="118" spans="5:11" x14ac:dyDescent="0.25">
      <c r="E118" t="s">
        <v>6</v>
      </c>
      <c r="F118">
        <f>SUM(F114:F117)</f>
        <v>0.3024481</v>
      </c>
      <c r="H118">
        <f>SUM(H114:H117)</f>
        <v>5.0713500000000009E-2</v>
      </c>
      <c r="J118">
        <f>H118/F118</f>
        <v>0.16767670221766978</v>
      </c>
      <c r="K118">
        <f>100*J118</f>
        <v>16.767670221766977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9BAB4-97D5-4C1A-A802-9D771F81454F}">
  <dimension ref="C4:F23"/>
  <sheetViews>
    <sheetView workbookViewId="0">
      <selection activeCell="C25" sqref="C25"/>
    </sheetView>
  </sheetViews>
  <sheetFormatPr defaultRowHeight="15" x14ac:dyDescent="0.25"/>
  <cols>
    <col min="1" max="1" width="9.140625" style="2"/>
    <col min="2" max="2" width="13.140625" style="2" bestFit="1" customWidth="1"/>
    <col min="3" max="3" width="19.42578125" style="2" customWidth="1"/>
    <col min="4" max="4" width="18.85546875" style="2" bestFit="1" customWidth="1"/>
    <col min="5" max="5" width="9.140625" style="2"/>
    <col min="6" max="6" width="40.7109375" style="2" bestFit="1" customWidth="1"/>
    <col min="7" max="16384" width="9.140625" style="2"/>
  </cols>
  <sheetData>
    <row r="4" spans="3:6" x14ac:dyDescent="0.25">
      <c r="C4" s="2" t="s">
        <v>12</v>
      </c>
      <c r="D4" s="2" t="s">
        <v>10</v>
      </c>
      <c r="E4" s="2" t="s">
        <v>4</v>
      </c>
    </row>
    <row r="6" spans="3:6" x14ac:dyDescent="0.25">
      <c r="C6" s="2" t="s">
        <v>5</v>
      </c>
      <c r="D6" s="2">
        <v>7.5868126799766514E-3</v>
      </c>
      <c r="E6" s="2">
        <v>0.75868126799766511</v>
      </c>
    </row>
    <row r="7" spans="3:6" x14ac:dyDescent="0.25">
      <c r="C7" s="2" t="s">
        <v>2</v>
      </c>
      <c r="D7" s="2">
        <v>6.5509779054446719E-3</v>
      </c>
      <c r="E7" s="2">
        <v>0.65509779054446715</v>
      </c>
    </row>
    <row r="8" spans="3:6" x14ac:dyDescent="0.25">
      <c r="C8" s="2" t="s">
        <v>7</v>
      </c>
      <c r="D8" s="2">
        <v>1.0280803017955364E-2</v>
      </c>
      <c r="E8" s="2">
        <v>1.0280803017955364</v>
      </c>
    </row>
    <row r="9" spans="3:6" x14ac:dyDescent="0.25">
      <c r="C9" s="2" t="s">
        <v>8</v>
      </c>
      <c r="D9" s="2">
        <v>0.11799079223237538</v>
      </c>
      <c r="E9" s="2">
        <v>11.799079223237538</v>
      </c>
      <c r="F9" s="3" t="s">
        <v>11</v>
      </c>
    </row>
    <row r="11" spans="3:6" x14ac:dyDescent="0.25">
      <c r="C11" s="2" t="s">
        <v>12</v>
      </c>
      <c r="D11" s="2" t="s">
        <v>15</v>
      </c>
      <c r="E11" s="2" t="s">
        <v>4</v>
      </c>
    </row>
    <row r="13" spans="3:6" x14ac:dyDescent="0.25">
      <c r="C13" s="2" t="s">
        <v>5</v>
      </c>
      <c r="D13" s="2">
        <v>1.4045040440563398E-4</v>
      </c>
      <c r="E13" s="2">
        <v>1.4045040440563398E-2</v>
      </c>
    </row>
    <row r="14" spans="3:6" x14ac:dyDescent="0.25">
      <c r="C14" s="2" t="s">
        <v>2</v>
      </c>
      <c r="D14" s="2">
        <v>3.8416371375666708E-4</v>
      </c>
      <c r="E14" s="2">
        <v>3.8416371375666711E-2</v>
      </c>
    </row>
    <row r="15" spans="3:6" x14ac:dyDescent="0.25">
      <c r="C15" s="2" t="s">
        <v>7</v>
      </c>
      <c r="D15" s="2">
        <v>8.273482908357889E-2</v>
      </c>
      <c r="E15" s="2">
        <v>8.2734829083578898</v>
      </c>
    </row>
    <row r="16" spans="3:6" x14ac:dyDescent="0.25">
      <c r="C16" s="2" t="s">
        <v>8</v>
      </c>
      <c r="D16" s="2">
        <v>0.19377840132188806</v>
      </c>
      <c r="E16" s="2">
        <v>19.377840132188805</v>
      </c>
      <c r="F16" s="2" t="s">
        <v>16</v>
      </c>
    </row>
    <row r="18" spans="3:5" x14ac:dyDescent="0.25">
      <c r="C18" s="2" t="s">
        <v>12</v>
      </c>
      <c r="D18" s="2" t="s">
        <v>17</v>
      </c>
      <c r="E18" s="2" t="s">
        <v>4</v>
      </c>
    </row>
    <row r="20" spans="3:5" x14ac:dyDescent="0.25">
      <c r="C20" s="2" t="s">
        <v>5</v>
      </c>
      <c r="D20">
        <v>8.2330671311186113E-2</v>
      </c>
      <c r="E20">
        <v>8.2330671311186112</v>
      </c>
    </row>
    <row r="21" spans="3:5" x14ac:dyDescent="0.25">
      <c r="C21" s="2" t="s">
        <v>2</v>
      </c>
      <c r="D21">
        <v>1.5832276736129348E-2</v>
      </c>
      <c r="E21">
        <v>1.5832276736129347</v>
      </c>
    </row>
    <row r="22" spans="3:5" x14ac:dyDescent="0.25">
      <c r="C22" s="2" t="s">
        <v>7</v>
      </c>
      <c r="D22">
        <v>3.817098446761593E-2</v>
      </c>
      <c r="E22">
        <v>3.8170984467615932</v>
      </c>
    </row>
    <row r="23" spans="3:5" x14ac:dyDescent="0.25">
      <c r="C23" s="2" t="s">
        <v>9</v>
      </c>
      <c r="D23">
        <v>0.28226605499915991</v>
      </c>
      <c r="E23">
        <v>28.226605499915991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Jean-Pierre Jonckheere</dc:creator>
  <cp:lastModifiedBy>Jean-Pierre Jonckheere</cp:lastModifiedBy>
  <dcterms:created xsi:type="dcterms:W3CDTF">2026-06-17T12:31:19Z</dcterms:created>
  <dcterms:modified xsi:type="dcterms:W3CDTF">2026-06-18T13:39:24Z</dcterms:modified>
</cp:coreProperties>
</file>